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b val="1"/>
      <sz val="11"/>
    </font>
    <font>
      <name val="Arial"/>
      <sz val="11"/>
    </font>
    <font>
      <name val="Arial"/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595959"/>
        <sz val="10"/>
      </font>
      <fill>
        <patternFill patternType="solid">
          <fgColor rgb="00F2F2F2"/>
        </patternFill>
      </fill>
    </dxf>
    <dxf>
      <font>
        <name val="Arial"/>
        <color rgb="00808080"/>
        <sz val="1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sks" displayName="Tasks" ref="A1:L49" headerRowCount="1">
  <autoFilter ref="A1:L49"/>
  <tableColumns count="12">
    <tableColumn id="1" name="Task ID"/>
    <tableColumn id="2" name="Epic"/>
    <tableColumn id="3" name="Sprint"/>
    <tableColumn id="4" name="Subject"/>
    <tableColumn id="5" name="Description"/>
    <tableColumn id="6" name="Owner"/>
    <tableColumn id="7" name="Points"/>
    <tableColumn id="8" name="Status"/>
    <tableColumn id="9" name="Blocked By"/>
    <tableColumn id="10" name="Start (wk)"/>
    <tableColumn id="11" name="End (wk)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38" customWidth="1" min="4" max="4"/>
    <col width="54" customWidth="1" min="5" max="5"/>
    <col width="14" customWidth="1" min="6" max="6"/>
    <col width="8" customWidth="1" min="7" max="7"/>
    <col width="12" customWidth="1" min="8" max="8"/>
    <col width="22" customWidth="1" min="9" max="9"/>
    <col width="10" customWidth="1" min="10" max="10"/>
    <col width="10" customWidth="1" min="11" max="11"/>
    <col width="26" customWidth="1" min="12" max="12"/>
  </cols>
  <sheetData>
    <row r="1">
      <c r="A1" s="1" t="inlineStr">
        <is>
          <t>Task ID</t>
        </is>
      </c>
      <c r="B1" s="1" t="inlineStr">
        <is>
          <t>Epic</t>
        </is>
      </c>
      <c r="C1" s="1" t="inlineStr">
        <is>
          <t>Sprint</t>
        </is>
      </c>
      <c r="D1" s="1" t="inlineStr">
        <is>
          <t>Subject</t>
        </is>
      </c>
      <c r="E1" s="1" t="inlineStr">
        <is>
          <t>Description</t>
        </is>
      </c>
      <c r="F1" s="1" t="inlineStr">
        <is>
          <t>Owner</t>
        </is>
      </c>
      <c r="G1" s="1" t="inlineStr">
        <is>
          <t>Points</t>
        </is>
      </c>
      <c r="H1" s="1" t="inlineStr">
        <is>
          <t>Status</t>
        </is>
      </c>
      <c r="I1" s="1" t="inlineStr">
        <is>
          <t>Blocked By</t>
        </is>
      </c>
      <c r="J1" s="1" t="inlineStr">
        <is>
          <t>Start (wk)</t>
        </is>
      </c>
      <c r="K1" s="1" t="inlineStr">
        <is>
          <t>End (wk)</t>
        </is>
      </c>
      <c r="L1" s="1" t="inlineStr">
        <is>
          <t>Notes</t>
        </is>
      </c>
    </row>
    <row r="2">
      <c r="A2" s="2" t="inlineStr">
        <is>
          <t>TASK-0001</t>
        </is>
      </c>
      <c r="B2" s="2" t="inlineStr">
        <is>
          <t>0 Foundations</t>
        </is>
      </c>
      <c r="C2" s="2" t="inlineStr">
        <is>
          <t>S1</t>
        </is>
      </c>
      <c r="D2" s="3" t="inlineStr">
        <is>
          <t>Bootstrap monorepo with pnpm workspaces</t>
        </is>
      </c>
      <c r="E2" s="3" t="inlineStr">
        <is>
          <t>Root package.json + pnpm workspaces for apps/services/packages; .nvmrc, .editorconfig, .gitignore; README with architecture diagram.</t>
        </is>
      </c>
      <c r="F2" s="2" t="inlineStr"/>
      <c r="G2" s="2" t="n">
        <v>2</v>
      </c>
      <c r="H2" s="2" t="inlineStr">
        <is>
          <t>Pending</t>
        </is>
      </c>
      <c r="I2" s="3" t="inlineStr"/>
      <c r="J2" s="2" t="n">
        <v>1</v>
      </c>
      <c r="K2" s="2" t="n">
        <v>1</v>
      </c>
      <c r="L2" s="3" t="inlineStr"/>
    </row>
    <row r="3">
      <c r="A3" s="2" t="inlineStr">
        <is>
          <t>TASK-0002</t>
        </is>
      </c>
      <c r="B3" s="2" t="inlineStr">
        <is>
          <t>0 Foundations</t>
        </is>
      </c>
      <c r="C3" s="2" t="inlineStr">
        <is>
          <t>S1</t>
        </is>
      </c>
      <c r="D3" s="3" t="inlineStr">
        <is>
          <t>CI baseline in GitHub Actions</t>
        </is>
      </c>
      <c r="E3" s="3" t="inlineStr">
        <is>
          <t>Matrix jobs for mobile, core-java, pricing-py with lint/typecheck/test; dependency caching.</t>
        </is>
      </c>
      <c r="F3" s="2" t="inlineStr"/>
      <c r="G3" s="2" t="n">
        <v>3</v>
      </c>
      <c r="H3" s="2" t="inlineStr">
        <is>
          <t>Pending</t>
        </is>
      </c>
      <c r="I3" s="3" t="inlineStr">
        <is>
          <t>TASK-0001</t>
        </is>
      </c>
      <c r="J3" s="2" t="n">
        <v>1</v>
      </c>
      <c r="K3" s="2" t="n">
        <v>2</v>
      </c>
      <c r="L3" s="3" t="inlineStr"/>
    </row>
    <row r="4">
      <c r="A4" s="2" t="inlineStr">
        <is>
          <t>TASK-0003</t>
        </is>
      </c>
      <c r="B4" s="2" t="inlineStr">
        <is>
          <t>0 Foundations</t>
        </is>
      </c>
      <c r="C4" s="2" t="inlineStr">
        <is>
          <t>S1</t>
        </is>
      </c>
      <c r="D4" s="3" t="inlineStr">
        <is>
          <t>Terraform skeleton for dev environment</t>
        </is>
      </c>
      <c r="E4" s="3" t="inlineStr">
        <is>
          <t>Network, EKS or ECS, Mongo Atlas, Redis, S3 modules; remote state; make tf-plan-dev.</t>
        </is>
      </c>
      <c r="F4" s="2" t="inlineStr"/>
      <c r="G4" s="2" t="n">
        <v>5</v>
      </c>
      <c r="H4" s="2" t="inlineStr">
        <is>
          <t>Pending</t>
        </is>
      </c>
      <c r="I4" s="3" t="inlineStr">
        <is>
          <t>TASK-0001</t>
        </is>
      </c>
      <c r="J4" s="2" t="n">
        <v>1</v>
      </c>
      <c r="K4" s="2" t="n">
        <v>2</v>
      </c>
      <c r="L4" s="3" t="inlineStr"/>
    </row>
    <row r="5">
      <c r="A5" s="2" t="inlineStr">
        <is>
          <t>TASK-0004</t>
        </is>
      </c>
      <c r="B5" s="2" t="inlineStr">
        <is>
          <t>0 Foundations</t>
        </is>
      </c>
      <c r="C5" s="2" t="inlineStr">
        <is>
          <t>S1</t>
        </is>
      </c>
      <c r="D5" s="3" t="inlineStr">
        <is>
          <t>Shared schemas package</t>
        </is>
      </c>
      <c r="E5" s="3" t="inlineStr">
        <is>
          <t>Design, Floor, Room, Fixture, Estimate, RateItem schemas; codegen for TS/Java/Python.</t>
        </is>
      </c>
      <c r="F5" s="2" t="inlineStr"/>
      <c r="G5" s="2" t="n">
        <v>5</v>
      </c>
      <c r="H5" s="2" t="inlineStr">
        <is>
          <t>Pending</t>
        </is>
      </c>
      <c r="I5" s="3" t="inlineStr">
        <is>
          <t>TASK-0001</t>
        </is>
      </c>
      <c r="J5" s="2" t="n">
        <v>2</v>
      </c>
      <c r="K5" s="2" t="n">
        <v>2</v>
      </c>
      <c r="L5" s="3" t="inlineStr">
        <is>
          <t>Single source of truth</t>
        </is>
      </c>
    </row>
    <row r="6">
      <c r="A6" s="2" t="inlineStr">
        <is>
          <t>TASK-0501</t>
        </is>
      </c>
      <c r="B6" s="2" t="inlineStr">
        <is>
          <t>0.5 Asset Intake</t>
        </is>
      </c>
      <c r="C6" s="2" t="inlineStr">
        <is>
          <t>S2</t>
        </is>
      </c>
      <c r="D6" s="3" t="inlineStr">
        <is>
          <t>Create UI asset intake folders</t>
        </is>
      </c>
      <c r="E6" s="3" t="inlineStr">
        <is>
          <t>brand/, figma/screens/, figma/components/ with README and naming conventions.</t>
        </is>
      </c>
      <c r="F6" s="2" t="inlineStr"/>
      <c r="G6" s="2" t="n">
        <v>1</v>
      </c>
      <c r="H6" s="2" t="inlineStr">
        <is>
          <t>Pending</t>
        </is>
      </c>
      <c r="I6" s="3" t="inlineStr">
        <is>
          <t>TASK-0001</t>
        </is>
      </c>
      <c r="J6" s="2" t="n">
        <v>2</v>
      </c>
      <c r="K6" s="2" t="n">
        <v>2</v>
      </c>
      <c r="L6" s="3" t="inlineStr">
        <is>
          <t>Drop Figma exports here</t>
        </is>
      </c>
    </row>
    <row r="7">
      <c r="A7" s="2" t="inlineStr">
        <is>
          <t>TASK-0502</t>
        </is>
      </c>
      <c r="B7" s="2" t="inlineStr">
        <is>
          <t>0.5 Asset Intake</t>
        </is>
      </c>
      <c r="C7" s="2" t="inlineStr">
        <is>
          <t>S2</t>
        </is>
      </c>
      <c r="D7" s="3" t="inlineStr">
        <is>
          <t>Asset-ingest pipeline script</t>
        </is>
      </c>
      <c r="E7" s="3" t="inlineStr">
        <is>
          <t>scripts/assets-ingest.ts: PNG/SVG optimisation, @2x/@3x variants, manifest.json; pre-commit hook.</t>
        </is>
      </c>
      <c r="F7" s="2" t="inlineStr"/>
      <c r="G7" s="2" t="n">
        <v>3</v>
      </c>
      <c r="H7" s="2" t="inlineStr">
        <is>
          <t>Pending</t>
        </is>
      </c>
      <c r="I7" s="3" t="inlineStr">
        <is>
          <t>TASK-0501</t>
        </is>
      </c>
      <c r="J7" s="2" t="n">
        <v>2</v>
      </c>
      <c r="K7" s="2" t="n">
        <v>3</v>
      </c>
      <c r="L7" s="3" t="inlineStr"/>
    </row>
    <row r="8">
      <c r="A8" s="2" t="inlineStr">
        <is>
          <t>TASK-0503</t>
        </is>
      </c>
      <c r="B8" s="2" t="inlineStr">
        <is>
          <t>0.5 Asset Intake</t>
        </is>
      </c>
      <c r="C8" s="2" t="inlineStr">
        <is>
          <t>S2</t>
        </is>
      </c>
      <c r="D8" s="3" t="inlineStr">
        <is>
          <t>Design-tokens sync to Tamagui theme</t>
        </is>
      </c>
      <c r="E8" s="3" t="inlineStr">
        <is>
          <t>tokens.json -&gt; theme.ts generator script.</t>
        </is>
      </c>
      <c r="F8" s="2" t="inlineStr"/>
      <c r="G8" s="2" t="n">
        <v>3</v>
      </c>
      <c r="H8" s="2" t="inlineStr">
        <is>
          <t>Pending</t>
        </is>
      </c>
      <c r="I8" s="3" t="inlineStr">
        <is>
          <t>TASK-0501</t>
        </is>
      </c>
      <c r="J8" s="2" t="n">
        <v>2</v>
      </c>
      <c r="K8" s="2" t="n">
        <v>3</v>
      </c>
      <c r="L8" s="3" t="inlineStr"/>
    </row>
    <row r="9">
      <c r="A9" s="2" t="inlineStr">
        <is>
          <t>TASK-0504</t>
        </is>
      </c>
      <c r="B9" s="2" t="inlineStr">
        <is>
          <t>0.5 Asset Intake</t>
        </is>
      </c>
      <c r="C9" s="2" t="inlineStr">
        <is>
          <t>S2</t>
        </is>
      </c>
      <c r="D9" s="3" t="inlineStr">
        <is>
          <t>UI-generation task template</t>
        </is>
      </c>
      <c r="E9" s="3" t="inlineStr">
        <is>
          <t>docs/design/_task_template.md + one example flow doc.</t>
        </is>
      </c>
      <c r="F9" s="2" t="inlineStr"/>
      <c r="G9" s="2" t="n">
        <v>1</v>
      </c>
      <c r="H9" s="2" t="inlineStr">
        <is>
          <t>Pending</t>
        </is>
      </c>
      <c r="I9" s="3" t="inlineStr">
        <is>
          <t>TASK-0501</t>
        </is>
      </c>
      <c r="J9" s="2" t="n">
        <v>2</v>
      </c>
      <c r="K9" s="2" t="n">
        <v>3</v>
      </c>
      <c r="L9" s="3" t="inlineStr"/>
    </row>
    <row r="10">
      <c r="A10" s="2" t="inlineStr">
        <is>
          <t>TASK-0505</t>
        </is>
      </c>
      <c r="B10" s="2" t="inlineStr">
        <is>
          <t>0.5 Asset Intake</t>
        </is>
      </c>
      <c r="C10" s="2" t="inlineStr">
        <is>
          <t>S2</t>
        </is>
      </c>
      <c r="D10" s="3" t="inlineStr">
        <is>
          <t>Brand assets: logo, app icon, splash</t>
        </is>
      </c>
      <c r="E10" s="3" t="inlineStr">
        <is>
          <t>Generate iOS/Android icon sets and splash from logo.svg; bootsplash wired.</t>
        </is>
      </c>
      <c r="F10" s="2" t="inlineStr"/>
      <c r="G10" s="2" t="n">
        <v>3</v>
      </c>
      <c r="H10" s="2" t="inlineStr">
        <is>
          <t>Pending</t>
        </is>
      </c>
      <c r="I10" s="3" t="inlineStr">
        <is>
          <t>TASK-0501</t>
        </is>
      </c>
      <c r="J10" s="2" t="n">
        <v>3</v>
      </c>
      <c r="K10" s="2" t="n">
        <v>3</v>
      </c>
      <c r="L10" s="3" t="inlineStr">
        <is>
          <t>Uses founder-supplied logo</t>
        </is>
      </c>
    </row>
    <row r="11">
      <c r="A11" s="2" t="inlineStr">
        <is>
          <t>TASK-1001</t>
        </is>
      </c>
      <c r="B11" s="2" t="inlineStr">
        <is>
          <t>1 Auth &amp; Onboarding</t>
        </is>
      </c>
      <c r="C11" s="2" t="inlineStr">
        <is>
          <t>S3</t>
        </is>
      </c>
      <c r="D11" s="3" t="inlineStr">
        <is>
          <t>Firebase Auth + SDK integration</t>
        </is>
      </c>
      <c r="E11" s="3" t="inlineStr">
        <is>
          <t>Email+Google+Apple providers; RN sign-in/up/reset screens built against Figma.</t>
        </is>
      </c>
      <c r="F11" s="2" t="inlineStr"/>
      <c r="G11" s="2" t="n">
        <v>5</v>
      </c>
      <c r="H11" s="2" t="inlineStr">
        <is>
          <t>Pending</t>
        </is>
      </c>
      <c r="I11" s="3" t="inlineStr">
        <is>
          <t>TASK-0501</t>
        </is>
      </c>
      <c r="J11" s="2" t="n">
        <v>3</v>
      </c>
      <c r="K11" s="2" t="n">
        <v>4</v>
      </c>
      <c r="L11" s="3" t="inlineStr"/>
    </row>
    <row r="12">
      <c r="A12" s="2" t="inlineStr">
        <is>
          <t>TASK-1002</t>
        </is>
      </c>
      <c r="B12" s="2" t="inlineStr">
        <is>
          <t>1 Auth &amp; Onboarding</t>
        </is>
      </c>
      <c r="C12" s="2" t="inlineStr">
        <is>
          <t>S3</t>
        </is>
      </c>
      <c r="D12" s="3" t="inlineStr">
        <is>
          <t>Core /auth/session and /me</t>
        </is>
      </c>
      <c r="E12" s="3" t="inlineStr">
        <is>
          <t>Spring Boot auth-adapter verifies Firebase JWT; /me returns profile+role; RBAC annotations.</t>
        </is>
      </c>
      <c r="F12" s="2" t="inlineStr"/>
      <c r="G12" s="2" t="n">
        <v>5</v>
      </c>
      <c r="H12" s="2" t="inlineStr">
        <is>
          <t>Pending</t>
        </is>
      </c>
      <c r="I12" s="3" t="inlineStr">
        <is>
          <t>TASK-0004</t>
        </is>
      </c>
      <c r="J12" s="2" t="n">
        <v>3</v>
      </c>
      <c r="K12" s="2" t="n">
        <v>4</v>
      </c>
      <c r="L12" s="3" t="inlineStr"/>
    </row>
    <row r="13">
      <c r="A13" s="2" t="inlineStr">
        <is>
          <t>TASK-1003</t>
        </is>
      </c>
      <c r="B13" s="2" t="inlineStr">
        <is>
          <t>1 Auth &amp; Onboarding</t>
        </is>
      </c>
      <c r="C13" s="2" t="inlineStr">
        <is>
          <t>S3</t>
        </is>
      </c>
      <c r="D13" s="3" t="inlineStr">
        <is>
          <t>Onboarding flow (archetype + location)</t>
        </is>
      </c>
      <c r="E13" s="3" t="inlineStr">
        <is>
          <t>Archetype picker, map/postcode location, optional budget, plot dimensions; PATCH /me/onboarding.</t>
        </is>
      </c>
      <c r="F13" s="2" t="inlineStr"/>
      <c r="G13" s="2" t="n">
        <v>5</v>
      </c>
      <c r="H13" s="2" t="inlineStr">
        <is>
          <t>Pending</t>
        </is>
      </c>
      <c r="I13" s="3" t="inlineStr">
        <is>
          <t>TASK-0502,TASK-1001</t>
        </is>
      </c>
      <c r="J13" s="2" t="n">
        <v>4</v>
      </c>
      <c r="K13" s="2" t="n">
        <v>5</v>
      </c>
      <c r="L13" s="3" t="inlineStr"/>
    </row>
    <row r="14">
      <c r="A14" s="2" t="inlineStr">
        <is>
          <t>TASK-2001</t>
        </is>
      </c>
      <c r="B14" s="2" t="inlineStr">
        <is>
          <t>2 Design Canvas</t>
        </is>
      </c>
      <c r="C14" s="2" t="inlineStr">
        <is>
          <t>S4</t>
        </is>
      </c>
      <c r="D14" s="3" t="inlineStr">
        <is>
          <t>Skia canvas harness</t>
        </is>
      </c>
      <c r="E14" s="3" t="inlineStr">
        <is>
          <t>react-native-skia pan+pinch-zoom, snap-to-grid 6in, ruler overlay, viewport transform utilities, perf harness.</t>
        </is>
      </c>
      <c r="F14" s="2" t="inlineStr"/>
      <c r="G14" s="2" t="n">
        <v>13</v>
      </c>
      <c r="H14" s="2" t="inlineStr">
        <is>
          <t>Pending</t>
        </is>
      </c>
      <c r="I14" s="3" t="inlineStr">
        <is>
          <t>TASK-0503</t>
        </is>
      </c>
      <c r="J14" s="2" t="n">
        <v>5</v>
      </c>
      <c r="K14" s="2" t="n">
        <v>6</v>
      </c>
      <c r="L14" s="3" t="inlineStr">
        <is>
          <t>Core of the product</t>
        </is>
      </c>
    </row>
    <row r="15">
      <c r="A15" s="2" t="inlineStr">
        <is>
          <t>TASK-2002</t>
        </is>
      </c>
      <c r="B15" s="2" t="inlineStr">
        <is>
          <t>2 Design Canvas</t>
        </is>
      </c>
      <c r="C15" s="2" t="inlineStr">
        <is>
          <t>S4</t>
        </is>
      </c>
      <c r="D15" s="3" t="inlineStr">
        <is>
          <t>Floor manager</t>
        </is>
      </c>
      <c r="E15" s="3" t="inlineStr">
        <is>
          <t>Add/remove/reorder floors; tabs at canvas edge; per-floor state; archetype-defaults for floor height.</t>
        </is>
      </c>
      <c r="F15" s="2" t="inlineStr"/>
      <c r="G15" s="2" t="n">
        <v>5</v>
      </c>
      <c r="H15" s="2" t="inlineStr">
        <is>
          <t>Pending</t>
        </is>
      </c>
      <c r="I15" s="3" t="inlineStr">
        <is>
          <t>TASK-2001</t>
        </is>
      </c>
      <c r="J15" s="2" t="n">
        <v>6</v>
      </c>
      <c r="K15" s="2" t="n">
        <v>6</v>
      </c>
      <c r="L15" s="3" t="inlineStr"/>
    </row>
    <row r="16">
      <c r="A16" s="2" t="inlineStr">
        <is>
          <t>TASK-2003</t>
        </is>
      </c>
      <c r="B16" s="2" t="inlineStr">
        <is>
          <t>2 Design Canvas</t>
        </is>
      </c>
      <c r="C16" s="2" t="inlineStr">
        <is>
          <t>S4</t>
        </is>
      </c>
      <c r="D16" s="3" t="inlineStr">
        <is>
          <t>Room primitive</t>
        </is>
      </c>
      <c r="E16" s="3" t="inlineStr">
        <is>
          <t>Drag to draw rectangles, resize + corner handles, room-type picker, ceiling height, collision warning.</t>
        </is>
      </c>
      <c r="F16" s="2" t="inlineStr"/>
      <c r="G16" s="2" t="n">
        <v>8</v>
      </c>
      <c r="H16" s="2" t="inlineStr">
        <is>
          <t>Pending</t>
        </is>
      </c>
      <c r="I16" s="3" t="inlineStr">
        <is>
          <t>TASK-2002</t>
        </is>
      </c>
      <c r="J16" s="2" t="n">
        <v>6</v>
      </c>
      <c r="K16" s="2" t="n">
        <v>7</v>
      </c>
      <c r="L16" s="3" t="inlineStr"/>
    </row>
    <row r="17">
      <c r="A17" s="2" t="inlineStr">
        <is>
          <t>TASK-2004</t>
        </is>
      </c>
      <c r="B17" s="2" t="inlineStr">
        <is>
          <t>2 Design Canvas</t>
        </is>
      </c>
      <c r="C17" s="2" t="inlineStr">
        <is>
          <t>S5</t>
        </is>
      </c>
      <c r="D17" s="3" t="inlineStr">
        <is>
          <t>Fixture tray (doors, windows, stairs)</t>
        </is>
      </c>
      <c r="E17" s="3" t="inlineStr">
        <is>
          <t>Drag-drop on edges, snap with orientation lock, fixture spec sheet, stair primitive spanning floors.</t>
        </is>
      </c>
      <c r="F17" s="2" t="inlineStr"/>
      <c r="G17" s="2" t="n">
        <v>8</v>
      </c>
      <c r="H17" s="2" t="inlineStr">
        <is>
          <t>Pending</t>
        </is>
      </c>
      <c r="I17" s="3" t="inlineStr">
        <is>
          <t>TASK-2003</t>
        </is>
      </c>
      <c r="J17" s="2" t="n">
        <v>7</v>
      </c>
      <c r="K17" s="2" t="n">
        <v>8</v>
      </c>
      <c r="L17" s="3" t="inlineStr"/>
    </row>
    <row r="18">
      <c r="A18" s="2" t="inlineStr">
        <is>
          <t>TASK-2005</t>
        </is>
      </c>
      <c r="B18" s="2" t="inlineStr">
        <is>
          <t>2 Design Canvas</t>
        </is>
      </c>
      <c r="C18" s="2" t="inlineStr">
        <is>
          <t>S5</t>
        </is>
      </c>
      <c r="D18" s="3" t="inlineStr">
        <is>
          <t>Finishes palette</t>
        </is>
      </c>
      <c r="E18" s="3" t="inlineStr">
        <is>
          <t>Long-press room -&gt; finishes sheet; finishes tied to rate-item SKUs.</t>
        </is>
      </c>
      <c r="F18" s="2" t="inlineStr"/>
      <c r="G18" s="2" t="n">
        <v>5</v>
      </c>
      <c r="H18" s="2" t="inlineStr">
        <is>
          <t>Pending</t>
        </is>
      </c>
      <c r="I18" s="3" t="inlineStr">
        <is>
          <t>TASK-2003</t>
        </is>
      </c>
      <c r="J18" s="2" t="n">
        <v>8</v>
      </c>
      <c r="K18" s="2" t="n">
        <v>9</v>
      </c>
      <c r="L18" s="3" t="inlineStr"/>
    </row>
    <row r="19">
      <c r="A19" s="2" t="inlineStr">
        <is>
          <t>TASK-2006</t>
        </is>
      </c>
      <c r="B19" s="2" t="inlineStr">
        <is>
          <t>2 Design Canvas</t>
        </is>
      </c>
      <c r="C19" s="2" t="inlineStr">
        <is>
          <t>S5</t>
        </is>
      </c>
      <c r="D19" s="3" t="inlineStr">
        <is>
          <t>Design CRUD with auto-save</t>
        </is>
      </c>
      <c r="E19" s="3" t="inlineStr">
        <is>
          <t>POST/GET/PUT /designs; 5s throttled auto-save; optimistic updates + conflict detection; offline queue.</t>
        </is>
      </c>
      <c r="F19" s="2" t="inlineStr"/>
      <c r="G19" s="2" t="n">
        <v>8</v>
      </c>
      <c r="H19" s="2" t="inlineStr">
        <is>
          <t>Pending</t>
        </is>
      </c>
      <c r="I19" s="3" t="inlineStr">
        <is>
          <t>TASK-0004,TASK-1002,TASK-2001</t>
        </is>
      </c>
      <c r="J19" s="2" t="n">
        <v>7</v>
      </c>
      <c r="K19" s="2" t="n">
        <v>9</v>
      </c>
      <c r="L19" s="3" t="inlineStr"/>
    </row>
    <row r="20">
      <c r="A20" s="2" t="inlineStr">
        <is>
          <t>TASK-2007</t>
        </is>
      </c>
      <c r="B20" s="2" t="inlineStr">
        <is>
          <t>2 Design Canvas</t>
        </is>
      </c>
      <c r="C20" s="2" t="inlineStr">
        <is>
          <t>S5</t>
        </is>
      </c>
      <c r="D20" s="3" t="inlineStr">
        <is>
          <t>Undo/redo stack (50-step)</t>
        </is>
      </c>
      <c r="E20" s="3" t="inlineStr">
        <is>
          <t>Canvas-level undo/redo via op-log; toolbar + gesture binding; bounded memory.</t>
        </is>
      </c>
      <c r="F20" s="2" t="inlineStr"/>
      <c r="G20" s="2" t="n">
        <v>8</v>
      </c>
      <c r="H20" s="2" t="inlineStr">
        <is>
          <t>Pending</t>
        </is>
      </c>
      <c r="I20" s="3" t="inlineStr">
        <is>
          <t>TASK-2001</t>
        </is>
      </c>
      <c r="J20" s="2" t="n">
        <v>9</v>
      </c>
      <c r="K20" s="2" t="n">
        <v>10</v>
      </c>
      <c r="L20" s="3" t="inlineStr"/>
    </row>
    <row r="21">
      <c r="A21" s="2" t="inlineStr">
        <is>
          <t>TASK-2008</t>
        </is>
      </c>
      <c r="B21" s="2" t="inlineStr">
        <is>
          <t>2 Design Canvas</t>
        </is>
      </c>
      <c r="C21" s="2" t="inlineStr">
        <is>
          <t>S5</t>
        </is>
      </c>
      <c r="D21" s="3" t="inlineStr">
        <is>
          <t>Canvas performance hardening</t>
        </is>
      </c>
      <c r="E21" s="3" t="inlineStr">
        <is>
          <t>Off-screen room virtualisation, GPU-layer pinning, draw-call batching, perf budget in CI.</t>
        </is>
      </c>
      <c r="F21" s="2" t="inlineStr"/>
      <c r="G21" s="2" t="n">
        <v>5</v>
      </c>
      <c r="H21" s="2" t="inlineStr">
        <is>
          <t>Pending</t>
        </is>
      </c>
      <c r="I21" s="3" t="inlineStr">
        <is>
          <t>TASK-2001,TASK-2003,TASK-2004</t>
        </is>
      </c>
      <c r="J21" s="2" t="n">
        <v>9</v>
      </c>
      <c r="K21" s="2" t="n">
        <v>10</v>
      </c>
      <c r="L21" s="3" t="inlineStr"/>
    </row>
    <row r="22">
      <c r="A22" s="2" t="inlineStr">
        <is>
          <t>TASK-3001</t>
        </is>
      </c>
      <c r="B22" s="2" t="inlineStr">
        <is>
          <t>3 Pricing &amp; Scraper</t>
        </is>
      </c>
      <c r="C22" s="2" t="inlineStr">
        <is>
          <t>S4</t>
        </is>
      </c>
      <c r="D22" s="3" t="inlineStr">
        <is>
          <t>FastAPI service scaffold</t>
        </is>
      </c>
      <c r="E22" s="3" t="inlineStr">
        <is>
          <t>Uvicorn+Gunicorn, Motor, healthz, Dockerfile, OTel hooks.</t>
        </is>
      </c>
      <c r="F22" s="2" t="inlineStr"/>
      <c r="G22" s="2" t="n">
        <v>3</v>
      </c>
      <c r="H22" s="2" t="inlineStr">
        <is>
          <t>Pending</t>
        </is>
      </c>
      <c r="I22" s="3" t="inlineStr">
        <is>
          <t>TASK-0001,TASK-0002,TASK-0004</t>
        </is>
      </c>
      <c r="J22" s="2" t="n">
        <v>7</v>
      </c>
      <c r="K22" s="2" t="n">
        <v>7</v>
      </c>
      <c r="L22" s="3" t="inlineStr"/>
    </row>
    <row r="23">
      <c r="A23" s="2" t="inlineStr">
        <is>
          <t>TASK-3002</t>
        </is>
      </c>
      <c r="B23" s="2" t="inlineStr">
        <is>
          <t>3 Pricing &amp; Scraper</t>
        </is>
      </c>
      <c r="C23" s="2" t="inlineStr">
        <is>
          <t>S4</t>
        </is>
      </c>
      <c r="D23" s="3" t="inlineStr">
        <is>
          <t>Rate-item and rate-card-version collections</t>
        </is>
      </c>
      <c r="E23" s="3" t="inlineStr">
        <is>
          <t>Mongo collections + indices; Pydantic models; seed script.</t>
        </is>
      </c>
      <c r="F23" s="2" t="inlineStr"/>
      <c r="G23" s="2" t="n">
        <v>3</v>
      </c>
      <c r="H23" s="2" t="inlineStr">
        <is>
          <t>Pending</t>
        </is>
      </c>
      <c r="I23" s="3" t="inlineStr">
        <is>
          <t>TASK-3001,TASK-0003</t>
        </is>
      </c>
      <c r="J23" s="2" t="n">
        <v>7</v>
      </c>
      <c r="K23" s="2" t="n">
        <v>8</v>
      </c>
      <c r="L23" s="3" t="inlineStr"/>
    </row>
    <row r="24">
      <c r="A24" s="2" t="inlineStr">
        <is>
          <t>TASK-3003</t>
        </is>
      </c>
      <c r="B24" s="2" t="inlineStr">
        <is>
          <t>3 Pricing &amp; Scraper</t>
        </is>
      </c>
      <c r="C24" s="2" t="inlineStr">
        <is>
          <t>S5</t>
        </is>
      </c>
      <c r="D24" s="3" t="inlineStr">
        <is>
          <t>One-off seed scrape script</t>
        </is>
      </c>
      <c r="E24" s="3" t="inlineStr">
        <is>
          <t>Standalone CLI script: httpx+selectolax over 2-3 hardcoded sources; inserts 50-100 draft rate items. No plug-in engine, no cron, no Playwright.</t>
        </is>
      </c>
      <c r="F24" s="2" t="inlineStr"/>
      <c r="G24" s="2" t="n">
        <v>3</v>
      </c>
      <c r="H24" s="2" t="inlineStr">
        <is>
          <t>Pending</t>
        </is>
      </c>
      <c r="I24" s="3" t="inlineStr">
        <is>
          <t>TASK-3001</t>
        </is>
      </c>
      <c r="J24" s="2" t="n">
        <v>8</v>
      </c>
      <c r="K24" s="2" t="n">
        <v>8</v>
      </c>
      <c r="L24" s="3" t="inlineStr">
        <is>
          <t>Simplified per CTO</t>
        </is>
      </c>
    </row>
    <row r="25">
      <c r="A25" s="2" t="inlineStr">
        <is>
          <t>TASK-3004</t>
        </is>
      </c>
      <c r="B25" s="2" t="inlineStr">
        <is>
          <t>3 Pricing &amp; Scraper</t>
        </is>
      </c>
      <c r="C25" s="2" t="inlineStr">
        <is>
          <t>S5</t>
        </is>
      </c>
      <c r="D25" s="3" t="inlineStr">
        <is>
          <t>Labour coefficient + regional multipliers</t>
        </is>
      </c>
      <c r="E25" s="3" t="inlineStr">
        <is>
          <t>pricing.yaml with labour_coefficient=0.40; regional_multipliers collection seeded for top 20 cities.</t>
        </is>
      </c>
      <c r="F25" s="2" t="inlineStr"/>
      <c r="G25" s="2" t="n">
        <v>3</v>
      </c>
      <c r="H25" s="2" t="inlineStr">
        <is>
          <t>Pending</t>
        </is>
      </c>
      <c r="I25" s="3" t="inlineStr">
        <is>
          <t>TASK-3002</t>
        </is>
      </c>
      <c r="J25" s="2" t="n">
        <v>9</v>
      </c>
      <c r="K25" s="2" t="n">
        <v>9</v>
      </c>
      <c r="L25" s="3" t="inlineStr"/>
    </row>
    <row r="26">
      <c r="A26" s="2" t="inlineStr">
        <is>
          <t>TASK-3005</t>
        </is>
      </c>
      <c r="B26" s="2" t="inlineStr">
        <is>
          <t>3 Pricing &amp; Scraper</t>
        </is>
      </c>
      <c r="C26" s="2" t="inlineStr">
        <is>
          <t>S6</t>
        </is>
      </c>
      <c r="D26" s="3" t="inlineStr">
        <is>
          <t>/estimates:calculate endpoint</t>
        </is>
      </c>
      <c r="E26" s="3" t="inlineStr">
        <is>
          <t>REST + gRPC; deterministic; returns full breakdown.</t>
        </is>
      </c>
      <c r="F26" s="2" t="inlineStr"/>
      <c r="G26" s="2" t="n">
        <v>8</v>
      </c>
      <c r="H26" s="2" t="inlineStr">
        <is>
          <t>Pending</t>
        </is>
      </c>
      <c r="I26" s="3" t="inlineStr">
        <is>
          <t>TASK-0004,TASK-3002,TASK-3004</t>
        </is>
      </c>
      <c r="J26" s="2" t="n">
        <v>10</v>
      </c>
      <c r="K26" s="2" t="n">
        <v>11</v>
      </c>
      <c r="L26" s="3" t="inlineStr"/>
    </row>
    <row r="27">
      <c r="A27" s="2" t="inlineStr">
        <is>
          <t>TASK-3006</t>
        </is>
      </c>
      <c r="B27" s="2" t="inlineStr">
        <is>
          <t>3 Pricing &amp; Scraper</t>
        </is>
      </c>
      <c r="C27" s="2" t="inlineStr">
        <is>
          <t>S6</t>
        </is>
      </c>
      <c r="D27" s="3" t="inlineStr">
        <is>
          <t>Admin rate-card endpoints</t>
        </is>
      </c>
      <c r="E27" s="3" t="inlineStr">
        <is>
          <t>scrape-trigger/list/publish + item-level CRUD with override.</t>
        </is>
      </c>
      <c r="F27" s="2" t="inlineStr"/>
      <c r="G27" s="2" t="n">
        <v>5</v>
      </c>
      <c r="H27" s="2" t="inlineStr">
        <is>
          <t>Pending</t>
        </is>
      </c>
      <c r="I27" s="3" t="inlineStr">
        <is>
          <t>TASK-3002,TASK-3003</t>
        </is>
      </c>
      <c r="J27" s="2" t="n">
        <v>10</v>
      </c>
      <c r="K27" s="2" t="n">
        <v>11</v>
      </c>
      <c r="L27" s="3" t="inlineStr"/>
    </row>
    <row r="28">
      <c r="A28" s="2" t="inlineStr">
        <is>
          <t>TASK-3007</t>
        </is>
      </c>
      <c r="B28" s="2" t="inlineStr">
        <is>
          <t>3 Pricing &amp; Scraper</t>
        </is>
      </c>
      <c r="C28" s="2" t="inlineStr">
        <is>
          <t>S6</t>
        </is>
      </c>
      <c r="D28" s="3" t="inlineStr">
        <is>
          <t>Core &lt;-&gt; Pricing integration</t>
        </is>
      </c>
      <c r="E28" s="3" t="inlineStr">
        <is>
          <t>EstimateOrchestrator -&gt; Pricing gRPC; persists estimate with rateCardVersionId.</t>
        </is>
      </c>
      <c r="F28" s="2" t="inlineStr"/>
      <c r="G28" s="2" t="n">
        <v>5</v>
      </c>
      <c r="H28" s="2" t="inlineStr">
        <is>
          <t>Pending</t>
        </is>
      </c>
      <c r="I28" s="3" t="inlineStr">
        <is>
          <t>TASK-2006,TASK-3005</t>
        </is>
      </c>
      <c r="J28" s="2" t="n">
        <v>11</v>
      </c>
      <c r="K28" s="2" t="n">
        <v>12</v>
      </c>
      <c r="L28" s="3" t="inlineStr"/>
    </row>
    <row r="29">
      <c r="A29" s="2" t="inlineStr">
        <is>
          <t>TASK-3008</t>
        </is>
      </c>
      <c r="B29" s="2" t="inlineStr">
        <is>
          <t>3 Pricing &amp; Scraper</t>
        </is>
      </c>
      <c r="C29" s="2" t="inlineStr">
        <is>
          <t>S6</t>
        </is>
      </c>
      <c r="D29" s="3" t="inlineStr">
        <is>
          <t>Admin rate-entry UI</t>
        </is>
      </c>
      <c r="E29" s="3" t="inlineStr">
        <is>
          <t>Table view with search/filter, inline edit, CSV bulk import, audit log. Lives in admin console (Epic 7); interim route in mobile app.</t>
        </is>
      </c>
      <c r="F29" s="2" t="inlineStr"/>
      <c r="G29" s="2" t="n">
        <v>5</v>
      </c>
      <c r="H29" s="2" t="inlineStr">
        <is>
          <t>Pending</t>
        </is>
      </c>
      <c r="I29" s="3" t="inlineStr">
        <is>
          <t>TASK-3006</t>
        </is>
      </c>
      <c r="J29" s="2" t="n">
        <v>11</v>
      </c>
      <c r="K29" s="2" t="n">
        <v>12</v>
      </c>
      <c r="L29" s="3" t="inlineStr">
        <is>
          <t>Primary rate-update surface</t>
        </is>
      </c>
    </row>
    <row r="30">
      <c r="A30" s="2" t="inlineStr">
        <is>
          <t>TASK-4001</t>
        </is>
      </c>
      <c r="B30" s="2" t="inlineStr">
        <is>
          <t>4 Estimate UX</t>
        </is>
      </c>
      <c r="C30" s="2" t="inlineStr">
        <is>
          <t>S6</t>
        </is>
      </c>
      <c r="D30" s="3" t="inlineStr">
        <is>
          <t>Estimate screen</t>
        </is>
      </c>
      <c r="E30" s="3" t="inlineStr">
        <is>
          <t>Materials, 40% labour line, regional premium, overhead, grand total; category drill-down.</t>
        </is>
      </c>
      <c r="F30" s="2" t="inlineStr"/>
      <c r="G30" s="2" t="n">
        <v>5</v>
      </c>
      <c r="H30" s="2" t="inlineStr">
        <is>
          <t>Pending</t>
        </is>
      </c>
      <c r="I30" s="3" t="inlineStr">
        <is>
          <t>TASK-0502,TASK-3007</t>
        </is>
      </c>
      <c r="J30" s="2" t="n">
        <v>11</v>
      </c>
      <c r="K30" s="2" t="n">
        <v>12</v>
      </c>
      <c r="L30" s="3" t="inlineStr"/>
    </row>
    <row r="31">
      <c r="A31" s="2" t="inlineStr">
        <is>
          <t>TASK-4002</t>
        </is>
      </c>
      <c r="B31" s="2" t="inlineStr">
        <is>
          <t>4 Estimate UX</t>
        </is>
      </c>
      <c r="C31" s="2" t="inlineStr">
        <is>
          <t>S7</t>
        </is>
      </c>
      <c r="D31" s="3" t="inlineStr">
        <is>
          <t>PDF estimate export</t>
        </is>
      </c>
      <c r="E31" s="3" t="inlineStr">
        <is>
          <t>Branded PDF via Core export endpoint; SES email; Indicative MVP disclaimer.</t>
        </is>
      </c>
      <c r="F31" s="2" t="inlineStr"/>
      <c r="G31" s="2" t="n">
        <v>5</v>
      </c>
      <c r="H31" s="2" t="inlineStr">
        <is>
          <t>Pending</t>
        </is>
      </c>
      <c r="I31" s="3" t="inlineStr">
        <is>
          <t>TASK-4001</t>
        </is>
      </c>
      <c r="J31" s="2" t="n">
        <v>12</v>
      </c>
      <c r="K31" s="2" t="n">
        <v>13</v>
      </c>
      <c r="L31" s="3" t="inlineStr"/>
    </row>
    <row r="32">
      <c r="A32" s="2" t="inlineStr">
        <is>
          <t>TASK-4003</t>
        </is>
      </c>
      <c r="B32" s="2" t="inlineStr">
        <is>
          <t>4 Estimate UX</t>
        </is>
      </c>
      <c r="C32" s="2" t="inlineStr">
        <is>
          <t>S7</t>
        </is>
      </c>
      <c r="D32" s="3" t="inlineStr">
        <is>
          <t>Share link</t>
        </is>
      </c>
      <c r="E32" s="3" t="inlineStr">
        <is>
          <t>Signed, time-bounded share URL; revokable.</t>
        </is>
      </c>
      <c r="F32" s="2" t="inlineStr"/>
      <c r="G32" s="2" t="n">
        <v>3</v>
      </c>
      <c r="H32" s="2" t="inlineStr">
        <is>
          <t>Pending</t>
        </is>
      </c>
      <c r="I32" s="3" t="inlineStr">
        <is>
          <t>TASK-4002</t>
        </is>
      </c>
      <c r="J32" s="2" t="n">
        <v>13</v>
      </c>
      <c r="K32" s="2" t="n">
        <v>13</v>
      </c>
      <c r="L32" s="3" t="inlineStr"/>
    </row>
    <row r="33">
      <c r="A33" s="2" t="inlineStr">
        <is>
          <t>TASK-5001</t>
        </is>
      </c>
      <c r="B33" s="2" t="inlineStr">
        <is>
          <t>5 Launch</t>
        </is>
      </c>
      <c r="C33" s="2" t="inlineStr">
        <is>
          <t>S7</t>
        </is>
      </c>
      <c r="D33" s="3" t="inlineStr">
        <is>
          <t>Load test core + pricing</t>
        </is>
      </c>
      <c r="E33" s="3" t="inlineStr">
        <is>
          <t>k6 to 200 rps on /estimate; report P50/P95/P99 + error rate.</t>
        </is>
      </c>
      <c r="F33" s="2" t="inlineStr"/>
      <c r="G33" s="2" t="n">
        <v>3</v>
      </c>
      <c r="H33" s="2" t="inlineStr">
        <is>
          <t>Pending</t>
        </is>
      </c>
      <c r="I33" s="3" t="inlineStr">
        <is>
          <t>TASK-3007</t>
        </is>
      </c>
      <c r="J33" s="2" t="n">
        <v>13</v>
      </c>
      <c r="K33" s="2" t="n">
        <v>14</v>
      </c>
      <c r="L33" s="3" t="inlineStr"/>
    </row>
    <row r="34">
      <c r="A34" s="2" t="inlineStr">
        <is>
          <t>TASK-5002</t>
        </is>
      </c>
      <c r="B34" s="2" t="inlineStr">
        <is>
          <t>5 Launch</t>
        </is>
      </c>
      <c r="C34" s="2" t="inlineStr">
        <is>
          <t>S7</t>
        </is>
      </c>
      <c r="D34" s="3" t="inlineStr">
        <is>
          <t>Security review</t>
        </is>
      </c>
      <c r="E34" s="3" t="inlineStr">
        <is>
          <t>MASVS checklist, pen test of auth + admin, Dependabot.</t>
        </is>
      </c>
      <c r="F34" s="2" t="inlineStr"/>
      <c r="G34" s="2" t="n">
        <v>5</v>
      </c>
      <c r="H34" s="2" t="inlineStr">
        <is>
          <t>Pending</t>
        </is>
      </c>
      <c r="I34" s="3" t="inlineStr">
        <is>
          <t>TASK-1002,TASK-3006</t>
        </is>
      </c>
      <c r="J34" s="2" t="n">
        <v>13</v>
      </c>
      <c r="K34" s="2" t="n">
        <v>14</v>
      </c>
      <c r="L34" s="3" t="inlineStr"/>
    </row>
    <row r="35">
      <c r="A35" s="2" t="inlineStr">
        <is>
          <t>TASK-5003</t>
        </is>
      </c>
      <c r="B35" s="2" t="inlineStr">
        <is>
          <t>5 Launch</t>
        </is>
      </c>
      <c r="C35" s="2" t="inlineStr">
        <is>
          <t>S7</t>
        </is>
      </c>
      <c r="D35" s="3" t="inlineStr">
        <is>
          <t>App Store + Play Store submissions</t>
        </is>
      </c>
      <c r="E35" s="3" t="inlineStr">
        <is>
          <t>Signed builds, privacy manifest, data-safety form, TestFlight/Play closed testing.</t>
        </is>
      </c>
      <c r="F35" s="2" t="inlineStr"/>
      <c r="G35" s="2" t="n">
        <v>5</v>
      </c>
      <c r="H35" s="2" t="inlineStr">
        <is>
          <t>Pending</t>
        </is>
      </c>
      <c r="I35" s="3" t="inlineStr">
        <is>
          <t>TASK-5002</t>
        </is>
      </c>
      <c r="J35" s="2" t="n">
        <v>14</v>
      </c>
      <c r="K35" s="2" t="n">
        <v>15</v>
      </c>
      <c r="L35" s="3" t="inlineStr"/>
    </row>
    <row r="36">
      <c r="A36" s="2" t="inlineStr">
        <is>
          <t>TASK-5004</t>
        </is>
      </c>
      <c r="B36" s="2" t="inlineStr">
        <is>
          <t>5 Launch</t>
        </is>
      </c>
      <c r="C36" s="2" t="inlineStr">
        <is>
          <t>S7</t>
        </is>
      </c>
      <c r="D36" s="3" t="inlineStr">
        <is>
          <t>Observability &amp; on-call</t>
        </is>
      </c>
      <c r="E36" s="3" t="inlineStr">
        <is>
          <t>Datadog dashboards, error budgets, PagerDuty schedule, runbooks.</t>
        </is>
      </c>
      <c r="F36" s="2" t="inlineStr"/>
      <c r="G36" s="2" t="n">
        <v>3</v>
      </c>
      <c r="H36" s="2" t="inlineStr">
        <is>
          <t>Pending</t>
        </is>
      </c>
      <c r="I36" s="3" t="inlineStr">
        <is>
          <t>TASK-3001,TASK-1002</t>
        </is>
      </c>
      <c r="J36" s="2" t="n">
        <v>14</v>
      </c>
      <c r="K36" s="2" t="n">
        <v>15</v>
      </c>
      <c r="L36" s="3" t="inlineStr"/>
    </row>
    <row r="37">
      <c r="A37" s="2" t="inlineStr">
        <is>
          <t>TASK-6001</t>
        </is>
      </c>
      <c r="B37" s="2" t="inlineStr">
        <is>
          <t>6 Phase 2</t>
        </is>
      </c>
      <c r="C37" s="2" t="inlineStr">
        <is>
          <t>S8+</t>
        </is>
      </c>
      <c r="D37" s="3" t="inlineStr">
        <is>
          <t>PDF/DOCX ingestion pipeline</t>
        </is>
      </c>
      <c r="E37" s="3" t="inlineStr">
        <is>
          <t>pdfplumber+camelot+OCR fallback + LLM mapping + human review queue.</t>
        </is>
      </c>
      <c r="F37" s="2" t="inlineStr"/>
      <c r="G37" s="2" t="n">
        <v>13</v>
      </c>
      <c r="H37" s="2" t="inlineStr">
        <is>
          <t>Pending</t>
        </is>
      </c>
      <c r="I37" s="3" t="inlineStr">
        <is>
          <t>TASK-3006</t>
        </is>
      </c>
      <c r="J37" s="2" t="n">
        <v>16</v>
      </c>
      <c r="K37" s="2" t="n">
        <v>19</v>
      </c>
      <c r="L37" s="3" t="inlineStr">
        <is>
          <t>Requires source doc</t>
        </is>
      </c>
    </row>
    <row r="38">
      <c r="A38" s="2" t="inlineStr">
        <is>
          <t>TASK-6002</t>
        </is>
      </c>
      <c r="B38" s="2" t="inlineStr">
        <is>
          <t>6 Phase 2</t>
        </is>
      </c>
      <c r="C38" s="2" t="inlineStr">
        <is>
          <t>S8+</t>
        </is>
      </c>
      <c r="D38" s="3" t="inlineStr">
        <is>
          <t>Per-trade labour decomposition</t>
        </is>
      </c>
      <c r="E38" s="3" t="inlineStr">
        <is>
          <t>Replace 40% flat with mason/plumber/electrician/painter/tiler/carpenter breakdown.</t>
        </is>
      </c>
      <c r="F38" s="2" t="inlineStr"/>
      <c r="G38" s="2" t="n">
        <v>8</v>
      </c>
      <c r="H38" s="2" t="inlineStr">
        <is>
          <t>Pending</t>
        </is>
      </c>
      <c r="I38" s="3" t="inlineStr">
        <is>
          <t>TASK-6001</t>
        </is>
      </c>
      <c r="J38" s="2" t="n">
        <v>19</v>
      </c>
      <c r="K38" s="2" t="n">
        <v>21</v>
      </c>
      <c r="L38" s="3" t="inlineStr"/>
    </row>
    <row r="39">
      <c r="A39" s="2" t="inlineStr">
        <is>
          <t>TASK-6003</t>
        </is>
      </c>
      <c r="B39" s="2" t="inlineStr">
        <is>
          <t>6 Phase 2</t>
        </is>
      </c>
      <c r="C39" s="2" t="inlineStr">
        <is>
          <t>S8+</t>
        </is>
      </c>
      <c r="D39" s="3" t="inlineStr">
        <is>
          <t>Estimate calibration job</t>
        </is>
      </c>
      <c r="E39" s="3" t="inlineStr">
        <is>
          <t>Offline job comparing estimates vs real quotes; tunes coefficients.</t>
        </is>
      </c>
      <c r="F39" s="2" t="inlineStr"/>
      <c r="G39" s="2" t="n">
        <v>5</v>
      </c>
      <c r="H39" s="2" t="inlineStr">
        <is>
          <t>Pending</t>
        </is>
      </c>
      <c r="I39" s="3" t="inlineStr">
        <is>
          <t>TASK-6002</t>
        </is>
      </c>
      <c r="J39" s="2" t="n">
        <v>21</v>
      </c>
      <c r="K39" s="2" t="n">
        <v>22</v>
      </c>
      <c r="L39" s="3" t="inlineStr"/>
    </row>
    <row r="40">
      <c r="A40" s="2" t="inlineStr">
        <is>
          <t>TASK-7001</t>
        </is>
      </c>
      <c r="B40" s="2" t="inlineStr">
        <is>
          <t>7 Admin Monitoring</t>
        </is>
      </c>
      <c r="C40" s="2" t="inlineStr">
        <is>
          <t>S9+</t>
        </is>
      </c>
      <c r="D40" s="3" t="inlineStr">
        <is>
          <t>Admin console scaffold (Next.js)</t>
        </is>
      </c>
      <c r="E40" s="3" t="inlineStr">
        <is>
          <t>apps/admin-web Next.js 14, NextAuth+Firebase, admin-only guard, nav shell. Staging-only until launched.</t>
        </is>
      </c>
      <c r="F40" s="2" t="inlineStr"/>
      <c r="G40" s="2" t="n">
        <v>5</v>
      </c>
      <c r="H40" s="2" t="inlineStr">
        <is>
          <t>Deferred</t>
        </is>
      </c>
      <c r="I40" s="3" t="inlineStr">
        <is>
          <t>TASK-1001,TASK-1002</t>
        </is>
      </c>
      <c r="J40" s="2" t="n">
        <v>22</v>
      </c>
      <c r="K40" s="2" t="n">
        <v>23</v>
      </c>
      <c r="L40" s="3" t="inlineStr">
        <is>
          <t>Post-launch</t>
        </is>
      </c>
    </row>
    <row r="41">
      <c r="A41" s="2" t="inlineStr">
        <is>
          <t>TASK-7002</t>
        </is>
      </c>
      <c r="B41" s="2" t="inlineStr">
        <is>
          <t>7 Admin Monitoring</t>
        </is>
      </c>
      <c r="C41" s="2" t="inlineStr">
        <is>
          <t>S9+</t>
        </is>
      </c>
      <c r="D41" s="3" t="inlineStr">
        <is>
          <t>Usage-limits dashboard</t>
        </is>
      </c>
      <c r="E41" s="3" t="inlineStr">
        <is>
          <t>Per-tier rate limits enforced in core; dashboard of breaches, top-N users, time-series volume.</t>
        </is>
      </c>
      <c r="F41" s="2" t="inlineStr"/>
      <c r="G41" s="2" t="n">
        <v>5</v>
      </c>
      <c r="H41" s="2" t="inlineStr">
        <is>
          <t>Deferred</t>
        </is>
      </c>
      <c r="I41" s="3" t="inlineStr">
        <is>
          <t>TASK-7001,TASK-5004</t>
        </is>
      </c>
      <c r="J41" s="2" t="n">
        <v>23</v>
      </c>
      <c r="K41" s="2" t="n">
        <v>24</v>
      </c>
      <c r="L41" s="3" t="inlineStr"/>
    </row>
    <row r="42">
      <c r="A42" s="2" t="inlineStr">
        <is>
          <t>TASK-7003</t>
        </is>
      </c>
      <c r="B42" s="2" t="inlineStr">
        <is>
          <t>7 Admin Monitoring</t>
        </is>
      </c>
      <c r="C42" s="2" t="inlineStr">
        <is>
          <t>S9+</t>
        </is>
      </c>
      <c r="D42" s="3" t="inlineStr">
        <is>
          <t>Customer support inbox</t>
        </is>
      </c>
      <c r="E42" s="3" t="inlineStr">
        <is>
          <t>In-app 'Need help?' form; admin inbox with reply, status transitions, email notifications; audit-logged.</t>
        </is>
      </c>
      <c r="F42" s="2" t="inlineStr"/>
      <c r="G42" s="2" t="n">
        <v>5</v>
      </c>
      <c r="H42" s="2" t="inlineStr">
        <is>
          <t>Deferred</t>
        </is>
      </c>
      <c r="I42" s="3" t="inlineStr">
        <is>
          <t>TASK-7001</t>
        </is>
      </c>
      <c r="J42" s="2" t="n">
        <v>23</v>
      </c>
      <c r="K42" s="2" t="n">
        <v>24</v>
      </c>
      <c r="L42" s="3" t="inlineStr"/>
    </row>
    <row r="43">
      <c r="A43" s="2" t="inlineStr">
        <is>
          <t>TASK-7004</t>
        </is>
      </c>
      <c r="B43" s="2" t="inlineStr">
        <is>
          <t>7 Admin Monitoring</t>
        </is>
      </c>
      <c r="C43" s="2" t="inlineStr">
        <is>
          <t>S3+</t>
        </is>
      </c>
      <c r="D43" s="3" t="inlineStr">
        <is>
          <t>Instrumentation hooks (alongside MVP)</t>
        </is>
      </c>
      <c r="E43" s="3" t="inlineStr">
        <is>
          <t>Event bus emits user.signup, design.created, estimate.requested, pdf.exported, support.submitted to 'events' (TTL 90d); Grafana views wired.</t>
        </is>
      </c>
      <c r="F43" s="2" t="inlineStr"/>
      <c r="G43" s="2" t="n">
        <v>3</v>
      </c>
      <c r="H43" s="2" t="inlineStr">
        <is>
          <t>Pending</t>
        </is>
      </c>
      <c r="I43" s="3" t="inlineStr"/>
      <c r="J43" s="2" t="n">
        <v>3</v>
      </c>
      <c r="K43" s="2" t="n">
        <v>15</v>
      </c>
      <c r="L43" s="3" t="inlineStr">
        <is>
          <t>Built during Epics 1-5</t>
        </is>
      </c>
    </row>
    <row r="44">
      <c r="A44" s="2" t="inlineStr">
        <is>
          <t>TASK-7005</t>
        </is>
      </c>
      <c r="B44" s="2" t="inlineStr">
        <is>
          <t>7 Admin Monitoring</t>
        </is>
      </c>
      <c r="C44" s="2" t="inlineStr">
        <is>
          <t>S9+</t>
        </is>
      </c>
      <c r="D44" s="3" t="inlineStr">
        <is>
          <t>Admin audit log</t>
        </is>
      </c>
      <c r="E44" s="3" t="inlineStr">
        <is>
          <t>Every admin action to admin_audit_log; filterable view; 7-year retention.</t>
        </is>
      </c>
      <c r="F44" s="2" t="inlineStr"/>
      <c r="G44" s="2" t="n">
        <v>3</v>
      </c>
      <c r="H44" s="2" t="inlineStr">
        <is>
          <t>Deferred</t>
        </is>
      </c>
      <c r="I44" s="3" t="inlineStr">
        <is>
          <t>TASK-7001,TASK-3008</t>
        </is>
      </c>
      <c r="J44" s="2" t="n">
        <v>24</v>
      </c>
      <c r="K44" s="2" t="n">
        <v>24</v>
      </c>
      <c r="L44" s="3" t="inlineStr"/>
    </row>
    <row r="45">
      <c r="A45" s="2" t="inlineStr">
        <is>
          <t>TASK-8001</t>
        </is>
      </c>
      <c r="B45" s="2" t="inlineStr">
        <is>
          <t>8 AI Layout Generator</t>
        </is>
      </c>
      <c r="C45" s="2" t="inlineStr">
        <is>
          <t>S10+</t>
        </is>
      </c>
      <c r="D45" s="3" t="inlineStr">
        <is>
          <t>Layout-generation service scaffold</t>
        </is>
      </c>
      <c r="E45" s="3" t="inlineStr">
        <is>
          <t>services/layout-py FastAPI service: healthz, /v1/layouts:generate stub, OTel hooks, Dockerfile, k8s manifest. Python 3.12 + Pydantic v2.</t>
        </is>
      </c>
      <c r="F45" s="2" t="inlineStr"/>
      <c r="G45" s="2" t="n">
        <v>5</v>
      </c>
      <c r="H45" s="2" t="inlineStr">
        <is>
          <t>Deferred</t>
        </is>
      </c>
      <c r="I45" s="3" t="inlineStr">
        <is>
          <t>TASK-0001,TASK-0002</t>
        </is>
      </c>
      <c r="J45" s="2" t="n">
        <v>25</v>
      </c>
      <c r="K45" s="2" t="n">
        <v>25</v>
      </c>
      <c r="L45" s="3" t="inlineStr">
        <is>
          <t>Vastu-compliant constraints</t>
        </is>
      </c>
    </row>
    <row r="46">
      <c r="A46" s="2" t="inlineStr">
        <is>
          <t>TASK-8002</t>
        </is>
      </c>
      <c r="B46" s="2" t="inlineStr">
        <is>
          <t>8 AI Layout Generator</t>
        </is>
      </c>
      <c r="C46" s="2" t="inlineStr">
        <is>
          <t>S10+</t>
        </is>
      </c>
      <c r="D46" s="3" t="inlineStr">
        <is>
          <t>Constraint + rule engine</t>
        </is>
      </c>
      <c r="E46" s="3" t="inlineStr">
        <is>
          <t>Hard constraints (overlap, min room sizes, reachability, stairs) + Vastu soft constraints (directions per room type) + natural light + adjacency rules. python-constraint or OR-Tools. Tunable weights via pricing-style YAML.</t>
        </is>
      </c>
      <c r="F46" s="2" t="inlineStr"/>
      <c r="G46" s="2" t="n">
        <v>13</v>
      </c>
      <c r="H46" s="2" t="inlineStr">
        <is>
          <t>Deferred</t>
        </is>
      </c>
      <c r="I46" s="3" t="inlineStr">
        <is>
          <t>TASK-8001,TASK-0004</t>
        </is>
      </c>
      <c r="J46" s="2" t="n">
        <v>25</v>
      </c>
      <c r="K46" s="2" t="n">
        <v>27</v>
      </c>
      <c r="L46" s="3" t="inlineStr">
        <is>
          <t>Core of the epic</t>
        </is>
      </c>
    </row>
    <row r="47">
      <c r="A47" s="2" t="inlineStr">
        <is>
          <t>TASK-8003</t>
        </is>
      </c>
      <c r="B47" s="2" t="inlineStr">
        <is>
          <t>8 AI Layout Generator</t>
        </is>
      </c>
      <c r="C47" s="2" t="inlineStr">
        <is>
          <t>S10+</t>
        </is>
      </c>
      <c r="D47" s="3" t="inlineStr">
        <is>
          <t>Layout Generator UI</t>
        </is>
      </c>
      <c r="E47" s="3" t="inlineStr">
        <is>
          <t>RN screens: input form (plot width/depth/unit, archetype, #bedrooms, #bathrooms, Vastu mode, budget hint) -&gt; candidate list (1-3 ranked) with per-constraint score breakdown -&gt; preview.</t>
        </is>
      </c>
      <c r="F47" s="2" t="inlineStr"/>
      <c r="G47" s="2" t="n">
        <v>8</v>
      </c>
      <c r="H47" s="2" t="inlineStr">
        <is>
          <t>Deferred</t>
        </is>
      </c>
      <c r="I47" s="3" t="inlineStr">
        <is>
          <t>TASK-8002,TASK-2001</t>
        </is>
      </c>
      <c r="J47" s="2" t="n">
        <v>27</v>
      </c>
      <c r="K47" s="2" t="n">
        <v>28</v>
      </c>
      <c r="L47" s="3" t="inlineStr"/>
    </row>
    <row r="48">
      <c r="A48" s="2" t="inlineStr">
        <is>
          <t>TASK-8004</t>
        </is>
      </c>
      <c r="B48" s="2" t="inlineStr">
        <is>
          <t>8 AI Layout Generator</t>
        </is>
      </c>
      <c r="C48" s="2" t="inlineStr">
        <is>
          <t>S10+</t>
        </is>
      </c>
      <c r="D48" s="3" t="inlineStr">
        <is>
          <t>Layout &lt;-&gt; Canvas handoff</t>
        </is>
      </c>
      <c r="E48" s="3" t="inlineStr">
        <is>
          <t>Materialise a chosen candidate as a Design Document, open in canvas in edit mode; round-trip tested end-to-end.</t>
        </is>
      </c>
      <c r="F48" s="2" t="inlineStr"/>
      <c r="G48" s="2" t="n">
        <v>5</v>
      </c>
      <c r="H48" s="2" t="inlineStr">
        <is>
          <t>Deferred</t>
        </is>
      </c>
      <c r="I48" s="3" t="inlineStr">
        <is>
          <t>TASK-8003,TASK-2006</t>
        </is>
      </c>
      <c r="J48" s="2" t="n">
        <v>28</v>
      </c>
      <c r="K48" s="2" t="n">
        <v>29</v>
      </c>
      <c r="L48" s="3" t="inlineStr"/>
    </row>
    <row r="49">
      <c r="A49" s="2" t="inlineStr">
        <is>
          <t>TASK-8005</t>
        </is>
      </c>
      <c r="B49" s="2" t="inlineStr">
        <is>
          <t>8 AI Layout Generator</t>
        </is>
      </c>
      <c r="C49" s="2" t="inlineStr">
        <is>
          <t>S10+</t>
        </is>
      </c>
      <c r="D49" s="3" t="inlineStr">
        <is>
          <t>Layout feedback loop</t>
        </is>
      </c>
      <c r="E49" s="3" t="inlineStr">
        <is>
          <t>User 'not usable' flag with reason; writes to layout_feedback; admin view in Phase-7 console; weekly summary export for constraint-weight tuning.</t>
        </is>
      </c>
      <c r="F49" s="2" t="inlineStr"/>
      <c r="G49" s="2" t="n">
        <v>3</v>
      </c>
      <c r="H49" s="2" t="inlineStr">
        <is>
          <t>Deferred</t>
        </is>
      </c>
      <c r="I49" s="3" t="inlineStr">
        <is>
          <t>TASK-8003,TASK-7001</t>
        </is>
      </c>
      <c r="J49" s="2" t="n">
        <v>29</v>
      </c>
      <c r="K49" s="2" t="n">
        <v>29</v>
      </c>
      <c r="L49" s="3" t="inlineStr"/>
    </row>
  </sheetData>
  <conditionalFormatting sqref="H2:H4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"Pending"</formula>
    </cfRule>
    <cfRule type="cellIs" priority="5" operator="equal" dxfId="4">
      <formula>"Deferred"</formula>
    </cfRule>
  </conditionalFormatting>
  <dataValidations count="1">
    <dataValidation sqref="H2:H49" showDropDown="0" showInputMessage="0" showErrorMessage="0" allowBlank="1" type="list">
      <formula1>"Pending,In Progress,Blocked,Done,Deferred"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4" t="inlineStr">
        <is>
          <t>Build Buddy (codename: Bob the Builder) - Sprint Tracker Summary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s="5" t="inlineStr">
        <is>
          <t>Total tasks</t>
        </is>
      </c>
      <c r="B4" s="6">
        <f>COUNTA(Tasks[Task ID])</f>
        <v/>
      </c>
    </row>
    <row r="5">
      <c r="A5" s="5" t="inlineStr">
        <is>
          <t>Points planned</t>
        </is>
      </c>
      <c r="B5" s="6">
        <f>SUM(Tasks[Points])</f>
        <v/>
      </c>
    </row>
    <row r="6">
      <c r="A6" s="5" t="inlineStr">
        <is>
          <t>Points done</t>
        </is>
      </c>
      <c r="B6" s="6">
        <f>SUMIFS(Tasks[Points], Tasks[Status], "Done")</f>
        <v/>
      </c>
    </row>
    <row r="7">
      <c r="A7" s="5" t="inlineStr">
        <is>
          <t>Points in progress</t>
        </is>
      </c>
      <c r="B7" s="6">
        <f>SUMIFS(Tasks[Points], Tasks[Status], "In Progress")</f>
        <v/>
      </c>
    </row>
    <row r="8">
      <c r="A8" s="5" t="inlineStr">
        <is>
          <t>Points blocked</t>
        </is>
      </c>
      <c r="B8" s="6">
        <f>SUMIFS(Tasks[Points], Tasks[Status], "Blocked")</f>
        <v/>
      </c>
    </row>
    <row r="9">
      <c r="A9" s="5" t="inlineStr">
        <is>
          <t>% complete (by points)</t>
        </is>
      </c>
      <c r="B9" s="7">
        <f>IFERROR(B6/B5, 0)</f>
        <v/>
      </c>
    </row>
    <row r="11">
      <c r="A11" s="8" t="inlineStr">
        <is>
          <t>By Epic</t>
        </is>
      </c>
    </row>
    <row r="12">
      <c r="A12" s="1" t="inlineStr">
        <is>
          <t>Epic</t>
        </is>
      </c>
      <c r="B12" s="1" t="inlineStr">
        <is>
          <t>Tasks</t>
        </is>
      </c>
      <c r="C12" s="1" t="inlineStr">
        <is>
          <t>Points</t>
        </is>
      </c>
      <c r="D12" s="1" t="inlineStr">
        <is>
          <t>Done pts</t>
        </is>
      </c>
      <c r="E12" s="1" t="inlineStr">
        <is>
          <t>In Progress pts</t>
        </is>
      </c>
    </row>
    <row r="13">
      <c r="A13" s="3" t="inlineStr">
        <is>
          <t>0 Foundations</t>
        </is>
      </c>
      <c r="B13" s="2">
        <f>COUNTIFS(Tasks[Epic], "0 Foundations")</f>
        <v/>
      </c>
      <c r="C13" s="2">
        <f>SUMIFS(Tasks[Points], Tasks[Epic], "0 Foundations")</f>
        <v/>
      </c>
      <c r="D13" s="2">
        <f>SUMIFS(Tasks[Points], Tasks[Epic], "0 Foundations", Tasks[Status], "Done")</f>
        <v/>
      </c>
      <c r="E13" s="2">
        <f>SUMIFS(Tasks[Points], Tasks[Epic], "0 Foundations", Tasks[Status], "In Progress")</f>
        <v/>
      </c>
    </row>
    <row r="14">
      <c r="A14" s="3" t="inlineStr">
        <is>
          <t>0.5 Asset Intake</t>
        </is>
      </c>
      <c r="B14" s="2">
        <f>COUNTIFS(Tasks[Epic], "0.5 Asset Intake")</f>
        <v/>
      </c>
      <c r="C14" s="2">
        <f>SUMIFS(Tasks[Points], Tasks[Epic], "0.5 Asset Intake")</f>
        <v/>
      </c>
      <c r="D14" s="2">
        <f>SUMIFS(Tasks[Points], Tasks[Epic], "0.5 Asset Intake", Tasks[Status], "Done")</f>
        <v/>
      </c>
      <c r="E14" s="2">
        <f>SUMIFS(Tasks[Points], Tasks[Epic], "0.5 Asset Intake", Tasks[Status], "In Progress")</f>
        <v/>
      </c>
    </row>
    <row r="15">
      <c r="A15" s="3" t="inlineStr">
        <is>
          <t>1 Auth &amp; Onboarding</t>
        </is>
      </c>
      <c r="B15" s="2">
        <f>COUNTIFS(Tasks[Epic], "1 Auth &amp; Onboarding")</f>
        <v/>
      </c>
      <c r="C15" s="2">
        <f>SUMIFS(Tasks[Points], Tasks[Epic], "1 Auth &amp; Onboarding")</f>
        <v/>
      </c>
      <c r="D15" s="2">
        <f>SUMIFS(Tasks[Points], Tasks[Epic], "1 Auth &amp; Onboarding", Tasks[Status], "Done")</f>
        <v/>
      </c>
      <c r="E15" s="2">
        <f>SUMIFS(Tasks[Points], Tasks[Epic], "1 Auth &amp; Onboarding", Tasks[Status], "In Progress")</f>
        <v/>
      </c>
    </row>
    <row r="16">
      <c r="A16" s="3" t="inlineStr">
        <is>
          <t>2 Design Canvas</t>
        </is>
      </c>
      <c r="B16" s="2">
        <f>COUNTIFS(Tasks[Epic], "2 Design Canvas")</f>
        <v/>
      </c>
      <c r="C16" s="2">
        <f>SUMIFS(Tasks[Points], Tasks[Epic], "2 Design Canvas")</f>
        <v/>
      </c>
      <c r="D16" s="2">
        <f>SUMIFS(Tasks[Points], Tasks[Epic], "2 Design Canvas", Tasks[Status], "Done")</f>
        <v/>
      </c>
      <c r="E16" s="2">
        <f>SUMIFS(Tasks[Points], Tasks[Epic], "2 Design Canvas", Tasks[Status], "In Progress")</f>
        <v/>
      </c>
    </row>
    <row r="17">
      <c r="A17" s="3" t="inlineStr">
        <is>
          <t>3 Pricing &amp; Scraper</t>
        </is>
      </c>
      <c r="B17" s="2">
        <f>COUNTIFS(Tasks[Epic], "3 Pricing &amp; Scraper")</f>
        <v/>
      </c>
      <c r="C17" s="2">
        <f>SUMIFS(Tasks[Points], Tasks[Epic], "3 Pricing &amp; Scraper")</f>
        <v/>
      </c>
      <c r="D17" s="2">
        <f>SUMIFS(Tasks[Points], Tasks[Epic], "3 Pricing &amp; Scraper", Tasks[Status], "Done")</f>
        <v/>
      </c>
      <c r="E17" s="2">
        <f>SUMIFS(Tasks[Points], Tasks[Epic], "3 Pricing &amp; Scraper", Tasks[Status], "In Progress")</f>
        <v/>
      </c>
    </row>
    <row r="18">
      <c r="A18" s="3" t="inlineStr">
        <is>
          <t>4 Estimate UX</t>
        </is>
      </c>
      <c r="B18" s="2">
        <f>COUNTIFS(Tasks[Epic], "4 Estimate UX")</f>
        <v/>
      </c>
      <c r="C18" s="2">
        <f>SUMIFS(Tasks[Points], Tasks[Epic], "4 Estimate UX")</f>
        <v/>
      </c>
      <c r="D18" s="2">
        <f>SUMIFS(Tasks[Points], Tasks[Epic], "4 Estimate UX", Tasks[Status], "Done")</f>
        <v/>
      </c>
      <c r="E18" s="2">
        <f>SUMIFS(Tasks[Points], Tasks[Epic], "4 Estimate UX", Tasks[Status], "In Progress")</f>
        <v/>
      </c>
    </row>
    <row r="19">
      <c r="A19" s="3" t="inlineStr">
        <is>
          <t>5 Launch</t>
        </is>
      </c>
      <c r="B19" s="2">
        <f>COUNTIFS(Tasks[Epic], "5 Launch")</f>
        <v/>
      </c>
      <c r="C19" s="2">
        <f>SUMIFS(Tasks[Points], Tasks[Epic], "5 Launch")</f>
        <v/>
      </c>
      <c r="D19" s="2">
        <f>SUMIFS(Tasks[Points], Tasks[Epic], "5 Launch", Tasks[Status], "Done")</f>
        <v/>
      </c>
      <c r="E19" s="2">
        <f>SUMIFS(Tasks[Points], Tasks[Epic], "5 Launch", Tasks[Status], "In Progress")</f>
        <v/>
      </c>
    </row>
    <row r="20">
      <c r="A20" s="3" t="inlineStr">
        <is>
          <t>6 Phase 2</t>
        </is>
      </c>
      <c r="B20" s="2">
        <f>COUNTIFS(Tasks[Epic], "6 Phase 2")</f>
        <v/>
      </c>
      <c r="C20" s="2">
        <f>SUMIFS(Tasks[Points], Tasks[Epic], "6 Phase 2")</f>
        <v/>
      </c>
      <c r="D20" s="2">
        <f>SUMIFS(Tasks[Points], Tasks[Epic], "6 Phase 2", Tasks[Status], "Done")</f>
        <v/>
      </c>
      <c r="E20" s="2">
        <f>SUMIFS(Tasks[Points], Tasks[Epic], "6 Phase 2", Tasks[Status], "In Progress")</f>
        <v/>
      </c>
    </row>
    <row r="21">
      <c r="A21" s="3" t="inlineStr">
        <is>
          <t>7 Admin Monitoring</t>
        </is>
      </c>
      <c r="B21" s="2">
        <f>COUNTIFS(Tasks[Epic], "7 Admin Monitoring")</f>
        <v/>
      </c>
      <c r="C21" s="2">
        <f>SUMIFS(Tasks[Points], Tasks[Epic], "7 Admin Monitoring")</f>
        <v/>
      </c>
      <c r="D21" s="2">
        <f>SUMIFS(Tasks[Points], Tasks[Epic], "7 Admin Monitoring", Tasks[Status], "Done")</f>
        <v/>
      </c>
      <c r="E21" s="2">
        <f>SUMIFS(Tasks[Points], Tasks[Epic], "7 Admin Monitoring", Tasks[Status], "In Progress")</f>
        <v/>
      </c>
    </row>
    <row r="22">
      <c r="A22" s="3" t="inlineStr">
        <is>
          <t>8 AI Layout Generator</t>
        </is>
      </c>
      <c r="B22" s="2">
        <f>COUNTIFS(Tasks[Epic], "8 AI Layout Generator")</f>
        <v/>
      </c>
      <c r="C22" s="2">
        <f>SUMIFS(Tasks[Points], Tasks[Epic], "8 AI Layout Generator")</f>
        <v/>
      </c>
      <c r="D22" s="2">
        <f>SUMIFS(Tasks[Points], Tasks[Epic], "8 AI Layout Generator", Tasks[Status], "Done")</f>
        <v/>
      </c>
      <c r="E22" s="2">
        <f>SUMIFS(Tasks[Points], Tasks[Epic], "8 AI Layout Generator", Tasks[Status], "In Progress")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Build Buddy - Sprint Tracker README (project codename: Bob the Builder)</t>
        </is>
      </c>
    </row>
    <row r="3">
      <c r="A3" t="inlineStr">
        <is>
          <t>Use this workbook as the source of truth for sprint planning.</t>
        </is>
      </c>
    </row>
    <row r="4">
      <c r="A4" t="inlineStr"/>
    </row>
    <row r="5">
      <c r="A5" t="inlineStr">
        <is>
          <t>Columns:</t>
        </is>
      </c>
    </row>
    <row r="6">
      <c r="A6" t="inlineStr">
        <is>
          <t xml:space="preserve">  Task ID      - Stable identifier; also used as the heading in the Task List markdown.</t>
        </is>
      </c>
    </row>
    <row r="7">
      <c r="A7" t="inlineStr">
        <is>
          <t xml:space="preserve">  Epic         - Grouping; feeds the Summary breakdown.</t>
        </is>
      </c>
    </row>
    <row r="8">
      <c r="A8" t="inlineStr">
        <is>
          <t xml:space="preserve">  Sprint       - Target 2-week sprint (S1 = weeks 1-2, S2 = weeks 3-4, ...).</t>
        </is>
      </c>
    </row>
    <row r="9">
      <c r="A9" t="inlineStr">
        <is>
          <t xml:space="preserve">  Subject      - Short imperative title.</t>
        </is>
      </c>
    </row>
    <row r="10">
      <c r="A10" t="inlineStr">
        <is>
          <t xml:space="preserve">  Description  - What needs to be done; enough to schedule in Claude Code.</t>
        </is>
      </c>
    </row>
    <row r="11">
      <c r="A11" t="inlineStr">
        <is>
          <t xml:space="preserve">  Owner        - Assignee name (fill in once the team is staffed).</t>
        </is>
      </c>
    </row>
    <row r="12">
      <c r="A12" t="inlineStr">
        <is>
          <t xml:space="preserve">  Points       - Fibonacci estimate; update as scope firms up.</t>
        </is>
      </c>
    </row>
    <row r="13">
      <c r="A13" t="inlineStr">
        <is>
          <t xml:space="preserve">  Status       - Pending / In Progress / Blocked / Done / Deferred (dropdown).</t>
        </is>
      </c>
    </row>
    <row r="14">
      <c r="A14" t="inlineStr">
        <is>
          <t xml:space="preserve">  Blocked By   - Comma-separated Task IDs that must finish first.</t>
        </is>
      </c>
    </row>
    <row r="15">
      <c r="A15" t="inlineStr">
        <is>
          <t xml:space="preserve">  Start / End  - Calendar week (1-indexed from project kickoff).</t>
        </is>
      </c>
    </row>
    <row r="16">
      <c r="A16" t="inlineStr">
        <is>
          <t xml:space="preserve">  Notes        - Free-form.</t>
        </is>
      </c>
    </row>
    <row r="17">
      <c r="A17" t="inlineStr"/>
    </row>
    <row r="18">
      <c r="A18" t="inlineStr">
        <is>
          <t>Conventions:</t>
        </is>
      </c>
    </row>
    <row r="19">
      <c r="A19" t="inlineStr">
        <is>
          <t xml:space="preserve">  - Reuse a task ID for follow-ups by appending a letter (TASK-2001a).</t>
        </is>
      </c>
    </row>
    <row r="20">
      <c r="A20" t="inlineStr">
        <is>
          <t xml:space="preserve">  - When status goes to Done, the Summary sheet updates automatically.</t>
        </is>
      </c>
    </row>
    <row r="21">
      <c r="A21" t="inlineStr">
        <is>
          <t xml:space="preserve">  - Blocked tasks should always have a Notes entry explaining why.</t>
        </is>
      </c>
    </row>
    <row r="22">
      <c r="A22" t="inlineStr"/>
    </row>
    <row r="23">
      <c r="A23" t="inlineStr">
        <is>
          <t>Scheduling in Claude Code:</t>
        </is>
      </c>
    </row>
    <row r="24">
      <c r="A24" t="inlineStr">
        <is>
          <t xml:space="preserve">  1. Open Bob_the_Builder_Task_List.md (kept under the project codename).</t>
        </is>
      </c>
    </row>
    <row r="25">
      <c r="A25" t="inlineStr">
        <is>
          <t xml:space="preserve">  2. Copy the section for the Task ID you are working on.</t>
        </is>
      </c>
    </row>
    <row r="26">
      <c r="A26" t="inlineStr">
        <is>
          <t xml:space="preserve">  3. In Claude Code, run /task and paste the section as the prompt.</t>
        </is>
      </c>
    </row>
    <row r="27">
      <c r="A27" t="inlineStr">
        <is>
          <t xml:space="preserve">  4. When the PR merges, flip the status here to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2026-04-24T20:35:22Z</dcterms:created>
  <dcterms:modified xmlns:dcterms="http://purl.org/dc/terms/" xmlns:xsi="http://www.w3.org/2001/XMLSchema-instance" xsi:type="dcterms:W3CDTF">2026-04-24T20:35:22Z</dcterms:modified>
</cp:coreProperties>
</file>